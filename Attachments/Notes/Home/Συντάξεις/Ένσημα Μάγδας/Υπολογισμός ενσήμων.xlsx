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AppData\Local\Packages\Microsoft.Office.OneNote_8wekyb3d8bbwe\LocalState\EmbeddedFileFolder\0\"/>
    </mc:Choice>
  </mc:AlternateContent>
  <xr:revisionPtr revIDLastSave="0" documentId="13_ncr:1_{7BC6C049-7218-4C02-AFA4-74E555A03B4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F3" i="1" s="1"/>
  <c r="F4" i="1"/>
  <c r="F5" i="1"/>
  <c r="F6" i="1"/>
  <c r="F8" i="1"/>
  <c r="F9" i="1"/>
  <c r="F10" i="1"/>
  <c r="F2" i="1"/>
  <c r="P4" i="1"/>
  <c r="N8" i="1"/>
  <c r="P8" i="1" s="1"/>
  <c r="S8" i="1" s="1"/>
  <c r="N7" i="1"/>
  <c r="N9" i="1" s="1"/>
  <c r="P9" i="1" s="1"/>
  <c r="N6" i="1"/>
  <c r="D2" i="1"/>
  <c r="D3" i="1" s="1"/>
  <c r="D4" i="1" s="1"/>
  <c r="D5" i="1" s="1"/>
  <c r="D6" i="1" s="1"/>
  <c r="D7" i="1" s="1"/>
  <c r="D8" i="1" s="1"/>
  <c r="D9" i="1" s="1"/>
  <c r="D10" i="1" s="1"/>
  <c r="F7" i="1" l="1"/>
</calcChain>
</file>

<file path=xl/sharedStrings.xml><?xml version="1.0" encoding="utf-8"?>
<sst xmlns="http://schemas.openxmlformats.org/spreadsheetml/2006/main" count="17" uniqueCount="15">
  <si>
    <t>Έτος</t>
  </si>
  <si>
    <t>Ένσημα</t>
  </si>
  <si>
    <t>Σύνολο</t>
  </si>
  <si>
    <t>Ηλικία</t>
  </si>
  <si>
    <t>Βασική σύνταξη</t>
  </si>
  <si>
    <t>Μειωμένη σύνταξη</t>
  </si>
  <si>
    <t>Μήνες από μειωμένη έως πλήρη σύνταξη</t>
  </si>
  <si>
    <t>Αντιστοιχία σε μήνες πλήρους σύνταξης</t>
  </si>
  <si>
    <t>=</t>
  </si>
  <si>
    <t>χρόνια</t>
  </si>
  <si>
    <t>Αντιστοιχία διαφοράς σε μήνες</t>
  </si>
  <si>
    <t xml:space="preserve"> + 67 =</t>
  </si>
  <si>
    <t>Κόστος</t>
  </si>
  <si>
    <t>Κόστος ενσήμου</t>
  </si>
  <si>
    <t>Σύνταξη που θα πάρει έως ηλικία πλήρους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</si>
</sst>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M7" sqref="M7"/>
    </sheetView>
  </sheetViews>
  <sheetFormatPr defaultRowHeight="18.75" x14ac:dyDescent="0.3"/>
  <cols>
    <col min="1" max="2" width="9.140625" style="1"/>
    <col min="3" max="3" width="16.5703125" style="1" customWidth="1"/>
    <col min="4" max="6" width="9.140625" style="1"/>
    <col min="7" max="9" width="6.7109375" style="1" customWidth="1"/>
    <col min="10" max="11" width="6.7109375" customWidth="1"/>
    <col min="12" max="12" width="9.140625" style="1"/>
    <col min="13" max="13" width="9.140625" style="5"/>
    <col min="14" max="14" width="9.140625" style="6"/>
    <col min="15" max="15" width="3.140625" style="7" customWidth="1"/>
    <col min="16" max="16384" width="9.140625" style="1"/>
  </cols>
  <sheetData>
    <row r="1" spans="1:19" ht="37.5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12</v>
      </c>
    </row>
    <row r="2" spans="1:19" x14ac:dyDescent="0.3">
      <c r="A2" s="1">
        <v>1</v>
      </c>
      <c r="B2" s="2">
        <v>2023</v>
      </c>
      <c r="C2" s="2">
        <v>250</v>
      </c>
      <c r="D2" s="2">
        <f>3091+250</f>
        <v>3341</v>
      </c>
      <c r="E2" s="2">
        <v>54</v>
      </c>
      <c r="F2" s="2">
        <f>C2*$N$2</f>
        <v>3050</v>
      </c>
      <c r="M2" s="5" t="s">
        <v>13</v>
      </c>
      <c r="N2" s="6">
        <f>305/25</f>
        <v>12.2</v>
      </c>
    </row>
    <row r="3" spans="1:19" x14ac:dyDescent="0.3">
      <c r="A3" s="1">
        <v>2</v>
      </c>
      <c r="B3" s="2">
        <v>2024</v>
      </c>
      <c r="C3" s="2">
        <v>250</v>
      </c>
      <c r="D3" s="2">
        <f>D2+C3</f>
        <v>3591</v>
      </c>
      <c r="E3" s="2">
        <v>55</v>
      </c>
      <c r="F3" s="2">
        <f t="shared" ref="F3:F10" si="0">C3*$N$2</f>
        <v>3050</v>
      </c>
      <c r="M3" s="5" t="s">
        <v>4</v>
      </c>
      <c r="N3" s="6">
        <v>450</v>
      </c>
    </row>
    <row r="4" spans="1:19" x14ac:dyDescent="0.3">
      <c r="A4" s="1">
        <v>3</v>
      </c>
      <c r="B4" s="2">
        <v>2025</v>
      </c>
      <c r="C4" s="2">
        <v>250</v>
      </c>
      <c r="D4" s="2">
        <f t="shared" ref="D4:D10" si="1">D3+C4</f>
        <v>3841</v>
      </c>
      <c r="E4" s="2">
        <v>56</v>
      </c>
      <c r="F4" s="2">
        <f t="shared" si="0"/>
        <v>3050</v>
      </c>
      <c r="M4" s="5" t="s">
        <v>5</v>
      </c>
      <c r="N4" s="6">
        <v>350</v>
      </c>
      <c r="P4" s="1">
        <f>N4*0.7</f>
        <v>244.99999999999997</v>
      </c>
    </row>
    <row r="5" spans="1:19" x14ac:dyDescent="0.3">
      <c r="A5" s="1">
        <v>4</v>
      </c>
      <c r="B5" s="2">
        <v>2026</v>
      </c>
      <c r="C5" s="2">
        <v>250</v>
      </c>
      <c r="D5" s="2">
        <f t="shared" si="1"/>
        <v>4091</v>
      </c>
      <c r="E5" s="2">
        <v>57</v>
      </c>
      <c r="F5" s="2">
        <f t="shared" si="0"/>
        <v>3050</v>
      </c>
    </row>
    <row r="6" spans="1:19" x14ac:dyDescent="0.3">
      <c r="A6" s="3">
        <v>5</v>
      </c>
      <c r="B6" s="4">
        <v>2027</v>
      </c>
      <c r="C6" s="4">
        <v>100</v>
      </c>
      <c r="D6" s="4">
        <f t="shared" si="1"/>
        <v>4191</v>
      </c>
      <c r="E6" s="4">
        <v>58</v>
      </c>
      <c r="F6" s="4">
        <f t="shared" si="0"/>
        <v>1220</v>
      </c>
      <c r="M6" s="5" t="s">
        <v>6</v>
      </c>
      <c r="N6" s="6">
        <f>(67-62)*12</f>
        <v>60</v>
      </c>
    </row>
    <row r="7" spans="1:19" x14ac:dyDescent="0.3">
      <c r="A7" s="1">
        <v>6</v>
      </c>
      <c r="B7" s="2">
        <v>2028</v>
      </c>
      <c r="C7" s="2">
        <v>100</v>
      </c>
      <c r="D7" s="2">
        <f t="shared" si="1"/>
        <v>4291</v>
      </c>
      <c r="E7" s="2">
        <v>59</v>
      </c>
      <c r="F7" s="2">
        <f t="shared" si="0"/>
        <v>1220</v>
      </c>
      <c r="M7" s="5" t="s">
        <v>14</v>
      </c>
      <c r="N7" s="6">
        <f>60*N4</f>
        <v>21000</v>
      </c>
    </row>
    <row r="8" spans="1:19" x14ac:dyDescent="0.3">
      <c r="A8" s="1">
        <v>7</v>
      </c>
      <c r="B8" s="2">
        <v>2029</v>
      </c>
      <c r="C8" s="2">
        <v>100</v>
      </c>
      <c r="D8" s="2">
        <f t="shared" si="1"/>
        <v>4391</v>
      </c>
      <c r="E8" s="2">
        <v>60</v>
      </c>
      <c r="F8" s="2">
        <f t="shared" si="0"/>
        <v>1220</v>
      </c>
      <c r="M8" s="5" t="s">
        <v>10</v>
      </c>
      <c r="N8" s="6">
        <f>21000/(N3-N4)</f>
        <v>210</v>
      </c>
      <c r="O8" s="7" t="s">
        <v>8</v>
      </c>
      <c r="P8" s="1">
        <f>N8/12</f>
        <v>17.5</v>
      </c>
      <c r="Q8" s="1" t="s">
        <v>9</v>
      </c>
      <c r="R8" s="8" t="s">
        <v>11</v>
      </c>
      <c r="S8" s="9">
        <f>67+P8</f>
        <v>84.5</v>
      </c>
    </row>
    <row r="9" spans="1:19" x14ac:dyDescent="0.3">
      <c r="A9" s="1">
        <v>8</v>
      </c>
      <c r="B9" s="2">
        <v>2030</v>
      </c>
      <c r="C9" s="2">
        <v>100</v>
      </c>
      <c r="D9" s="2">
        <f t="shared" si="1"/>
        <v>4491</v>
      </c>
      <c r="E9" s="2">
        <v>61</v>
      </c>
      <c r="F9" s="2">
        <f t="shared" si="0"/>
        <v>1220</v>
      </c>
      <c r="M9" s="5" t="s">
        <v>7</v>
      </c>
      <c r="N9" s="6">
        <f>N7/N3</f>
        <v>46.666666666666664</v>
      </c>
      <c r="O9" s="7" t="s">
        <v>8</v>
      </c>
      <c r="P9" s="1">
        <f>N9/12</f>
        <v>3.8888888888888888</v>
      </c>
      <c r="Q9" s="1" t="s">
        <v>9</v>
      </c>
    </row>
    <row r="10" spans="1:19" x14ac:dyDescent="0.3">
      <c r="A10" s="1">
        <v>9</v>
      </c>
      <c r="B10" s="2">
        <v>2031</v>
      </c>
      <c r="C10" s="2">
        <v>100</v>
      </c>
      <c r="D10" s="2">
        <f t="shared" si="1"/>
        <v>4591</v>
      </c>
      <c r="E10" s="2">
        <v>62</v>
      </c>
      <c r="F10" s="2">
        <f t="shared" si="0"/>
        <v>1220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Michail Timoleon</dc:creator>
  <cp:lastModifiedBy>Michail Timoleon</cp:lastModifiedBy>
  <dcterms:created xsi:type="dcterms:W3CDTF">2022-11-06T10:46:46Z</dcterms:created>
  <dcterms:modified xsi:type="dcterms:W3CDTF">2022-11-06T11:45:06Z</dcterms:modified>
</cp:coreProperties>
</file>